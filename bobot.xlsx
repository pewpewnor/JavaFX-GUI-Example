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be\Downloads\Juan\"/>
    </mc:Choice>
  </mc:AlternateContent>
  <xr:revisionPtr revIDLastSave="0" documentId="13_ncr:1_{E8CA379C-57C3-41E7-A54A-FC184ADCBB1C}" xr6:coauthVersionLast="47" xr6:coauthVersionMax="47" xr10:uidLastSave="{00000000-0000-0000-0000-000000000000}"/>
  <bookViews>
    <workbookView xWindow="-132" yWindow="-132" windowWidth="22188" windowHeight="13224" xr2:uid="{9F349522-2D8C-4BAC-9A6F-F4F15C66FFA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6" i="2" l="1"/>
  <c r="G7" i="2"/>
  <c r="G8" i="2" s="1"/>
  <c r="G6" i="2"/>
  <c r="G3" i="2"/>
  <c r="G21" i="2"/>
  <c r="G32" i="2"/>
  <c r="G33" i="2"/>
  <c r="G31" i="2"/>
  <c r="G29" i="2"/>
  <c r="G24" i="2"/>
  <c r="G23" i="2"/>
  <c r="G22" i="2"/>
  <c r="G20" i="2"/>
  <c r="G19" i="2"/>
  <c r="G17" i="2"/>
  <c r="C20" i="2"/>
  <c r="C21" i="2" s="1"/>
  <c r="C15" i="2"/>
  <c r="C14" i="2"/>
  <c r="G12" i="2"/>
  <c r="G13" i="2" s="1"/>
  <c r="C13" i="2"/>
  <c r="C12" i="2"/>
  <c r="C11" i="2"/>
  <c r="C9" i="2"/>
  <c r="G5" i="2"/>
  <c r="G4" i="2"/>
  <c r="C4" i="2"/>
  <c r="C3" i="2"/>
  <c r="C5" i="2" s="1"/>
  <c r="C16" i="2" l="1"/>
  <c r="H37" i="2" s="1"/>
  <c r="G25" i="2"/>
  <c r="G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Norbert Oliver</author>
  </authors>
  <commentList>
    <comment ref="G18" authorId="0" shapeId="0" xr:uid="{4F89FDE9-5EB8-4ABA-939C-37C8184E14B2}">
      <text>
        <r>
          <rPr>
            <b/>
            <sz val="11"/>
            <color indexed="81"/>
            <rFont val="Tahoma"/>
            <family val="2"/>
          </rPr>
          <t>Norbert Oliver:</t>
        </r>
        <r>
          <rPr>
            <sz val="11"/>
            <color indexed="81"/>
            <rFont val="Tahoma"/>
            <family val="2"/>
          </rPr>
          <t xml:space="preserve">
0 karena bobot ini sudah terhitung.</t>
        </r>
      </text>
    </comment>
    <comment ref="G30" authorId="0" shapeId="0" xr:uid="{9B4802AE-7039-46BA-B651-38D6461E5160}">
      <text>
        <r>
          <rPr>
            <b/>
            <sz val="11"/>
            <color indexed="81"/>
            <rFont val="Tahoma"/>
            <family val="2"/>
          </rPr>
          <t>Norbert Oliver:</t>
        </r>
        <r>
          <rPr>
            <sz val="11"/>
            <color indexed="81"/>
            <rFont val="Tahoma"/>
            <family val="2"/>
          </rPr>
          <t xml:space="preserve">
0 karena bobot ini sudah terhitung.</t>
        </r>
      </text>
    </comment>
  </commentList>
</comments>
</file>

<file path=xl/sharedStrings.xml><?xml version="1.0" encoding="utf-8"?>
<sst xmlns="http://schemas.openxmlformats.org/spreadsheetml/2006/main" count="94" uniqueCount="43">
  <si>
    <t>Login Form</t>
  </si>
  <si>
    <t>Validasi / Action</t>
  </si>
  <si>
    <t>Type</t>
  </si>
  <si>
    <t>Score</t>
  </si>
  <si>
    <t>easy</t>
  </si>
  <si>
    <t>hard</t>
  </si>
  <si>
    <t>medium</t>
  </si>
  <si>
    <t>Total</t>
  </si>
  <si>
    <t>Register Form</t>
  </si>
  <si>
    <t>Password length between 6 - 20</t>
  </si>
  <si>
    <t>Password must be alphanumeric</t>
  </si>
  <si>
    <t>Confirm password == password</t>
  </si>
  <si>
    <t>Main Form</t>
  </si>
  <si>
    <t>Check role</t>
  </si>
  <si>
    <t>Buy Product Form</t>
  </si>
  <si>
    <t>Quantity not higher than stock</t>
  </si>
  <si>
    <t>View Transaction History Form</t>
  </si>
  <si>
    <t>Email &amp; Password must be in database</t>
  </si>
  <si>
    <t>Email &amp; Password must be filled</t>
  </si>
  <si>
    <t>Manage Product Form</t>
  </si>
  <si>
    <t>Insert Watch Table</t>
  </si>
  <si>
    <t>Update Watch Table</t>
  </si>
  <si>
    <t>Delete Watch Table</t>
  </si>
  <si>
    <t>Insert Customer</t>
  </si>
  <si>
    <t>Watch Brand Name must be filled (for insert &amp; update)</t>
  </si>
  <si>
    <t>Insert Watch Brand Table</t>
  </si>
  <si>
    <t>Klik data row transaction maka akan keluar detail transaction sesuai db</t>
  </si>
  <si>
    <t>Update Watch Brand Table</t>
  </si>
  <si>
    <t>Delete Watch Brand Table</t>
  </si>
  <si>
    <t>Insert Transaction</t>
  </si>
  <si>
    <t>Manage Brand Form</t>
  </si>
  <si>
    <t>Watch Name must ends with " Watch"</t>
  </si>
  <si>
    <t>Table row must be selected (for update &amp; delete)</t>
  </si>
  <si>
    <t>Gender must be chosen</t>
  </si>
  <si>
    <t>Format Email</t>
  </si>
  <si>
    <t>Add Item to Table Cart</t>
  </si>
  <si>
    <t>Cart tidak boleh kosong ketika checkout</t>
  </si>
  <si>
    <t>score = nilai / 0,53</t>
  </si>
  <si>
    <t>Clear Cart</t>
  </si>
  <si>
    <t>Customer Name length between 5 - 40</t>
  </si>
  <si>
    <t>Watch Price &gt; 0</t>
  </si>
  <si>
    <t>Watch Stock &gt; 0</t>
  </si>
  <si>
    <t>Watch Brand must be chosen (for insert &amp; update)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</si>
</sst>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874898AF-9166-4F1C-9B6C-3E9B094FB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090C-A6CB-4148-8420-00F46FE79A12}">
  <dimension ref="A1:H44"/>
  <sheetViews>
    <sheetView tabSelected="1" topLeftCell="D10" zoomScale="145" zoomScaleNormal="145" workbookViewId="0">
      <selection activeCell="E18" sqref="E18"/>
    </sheetView>
  </sheetViews>
  <sheetFormatPr defaultRowHeight="14.4" x14ac:dyDescent="0.3"/>
  <cols>
    <col min="1" max="1" width="58.21875" customWidth="1"/>
    <col min="2" max="2" width="12" customWidth="1"/>
    <col min="3" max="3" width="11.21875" customWidth="1"/>
    <col min="5" max="5" width="91.6640625" customWidth="1"/>
    <col min="6" max="6" width="10.21875" customWidth="1"/>
    <col min="7" max="7" width="10.5546875" customWidth="1"/>
    <col min="8" max="8" width="19.21875" customWidth="1"/>
  </cols>
  <sheetData>
    <row r="1" spans="1:7" x14ac:dyDescent="0.3">
      <c r="A1" s="20" t="s">
        <v>0</v>
      </c>
      <c r="B1" s="21"/>
      <c r="C1" s="22"/>
      <c r="E1" s="20" t="s">
        <v>14</v>
      </c>
      <c r="F1" s="21"/>
      <c r="G1" s="22"/>
    </row>
    <row r="2" spans="1:7" x14ac:dyDescent="0.3">
      <c r="A2" s="5" t="s">
        <v>1</v>
      </c>
      <c r="B2" s="6" t="s">
        <v>2</v>
      </c>
      <c r="C2" s="7" t="s">
        <v>3</v>
      </c>
      <c r="E2" s="5" t="s">
        <v>1</v>
      </c>
      <c r="F2" s="6" t="s">
        <v>2</v>
      </c>
      <c r="G2" s="7" t="s">
        <v>3</v>
      </c>
    </row>
    <row r="3" spans="1:7" x14ac:dyDescent="0.3">
      <c r="A3" s="1" t="s">
        <v>18</v>
      </c>
      <c r="B3" s="1" t="s">
        <v>4</v>
      </c>
      <c r="C3" s="1">
        <f>IF(B3="easy", 1, IF(B3="medium", 2, IF(B3="hard", 3, 0)))</f>
        <v>1</v>
      </c>
      <c r="E3" s="14" t="s">
        <v>36</v>
      </c>
      <c r="F3" s="14" t="s">
        <v>4</v>
      </c>
      <c r="G3" s="13">
        <f t="shared" ref="G3" si="0">IF(F3="easy", 1, IF(F3="medium", 2, IF(F3="hard", 3, 0)))</f>
        <v>1</v>
      </c>
    </row>
    <row r="4" spans="1:7" x14ac:dyDescent="0.3">
      <c r="A4" s="1" t="s">
        <v>17</v>
      </c>
      <c r="B4" s="1" t="s">
        <v>5</v>
      </c>
      <c r="C4" s="1">
        <f>IF(B4="easy", 1, IF(B4="medium", 2, IF(B4="hard", 3, 0)))</f>
        <v>3</v>
      </c>
      <c r="E4" s="1" t="s">
        <v>15</v>
      </c>
      <c r="F4" s="1" t="s">
        <v>4</v>
      </c>
      <c r="G4" s="1">
        <f>IF(F4="easy", 1, IF(F4="medium", 2, IF(F4="hard", 3, 0)))</f>
        <v>1</v>
      </c>
    </row>
    <row r="5" spans="1:7" x14ac:dyDescent="0.3">
      <c r="A5" s="8" t="s">
        <v>7</v>
      </c>
      <c r="B5" s="9"/>
      <c r="C5" s="10">
        <f>SUM(C3:C4)</f>
        <v>4</v>
      </c>
      <c r="E5" s="2" t="s">
        <v>29</v>
      </c>
      <c r="F5" s="1" t="s">
        <v>5</v>
      </c>
      <c r="G5" s="1">
        <f>IF(F5="easy", 1, IF(F5="medium", 2, IF(F5="hard", 3, 0)))</f>
        <v>3</v>
      </c>
    </row>
    <row r="6" spans="1:7" x14ac:dyDescent="0.3">
      <c r="E6" s="19" t="s">
        <v>35</v>
      </c>
      <c r="F6" s="14" t="s">
        <v>5</v>
      </c>
      <c r="G6" s="14">
        <f>IF(F6="easy", 1, IF(F6="medium", 2, IF(F6="hard", 3, 0)))</f>
        <v>3</v>
      </c>
    </row>
    <row r="7" spans="1:7" x14ac:dyDescent="0.3">
      <c r="A7" s="20" t="s">
        <v>8</v>
      </c>
      <c r="B7" s="23"/>
      <c r="C7" s="24"/>
      <c r="E7" s="14" t="s">
        <v>38</v>
      </c>
      <c r="F7" s="13" t="s">
        <v>5</v>
      </c>
      <c r="G7" s="13">
        <f>IF(F7="easy", 1, IF(F7="medium", 2, IF(F7="hard", 3, 0)))</f>
        <v>3</v>
      </c>
    </row>
    <row r="8" spans="1:7" x14ac:dyDescent="0.3">
      <c r="A8" s="5" t="s">
        <v>1</v>
      </c>
      <c r="B8" s="6" t="s">
        <v>2</v>
      </c>
      <c r="C8" s="7" t="s">
        <v>3</v>
      </c>
      <c r="E8" s="8" t="s">
        <v>7</v>
      </c>
      <c r="F8" s="9"/>
      <c r="G8" s="10">
        <f>SUM(G3:G7)</f>
        <v>11</v>
      </c>
    </row>
    <row r="9" spans="1:7" x14ac:dyDescent="0.3">
      <c r="A9" s="13" t="s">
        <v>33</v>
      </c>
      <c r="B9" s="13" t="s">
        <v>4</v>
      </c>
      <c r="C9" s="13">
        <f t="shared" ref="C9" si="1">IF(B9="easy", 1, IF(B9="medium", 2, IF(B9="hard", 3, 0)))</f>
        <v>1</v>
      </c>
    </row>
    <row r="10" spans="1:7" x14ac:dyDescent="0.3">
      <c r="A10" s="13" t="s">
        <v>39</v>
      </c>
      <c r="B10" s="13" t="s">
        <v>4</v>
      </c>
      <c r="C10" s="13">
        <v>1</v>
      </c>
      <c r="E10" s="16" t="s">
        <v>16</v>
      </c>
      <c r="F10" s="17"/>
      <c r="G10" s="18"/>
    </row>
    <row r="11" spans="1:7" x14ac:dyDescent="0.3">
      <c r="A11" s="13" t="s">
        <v>34</v>
      </c>
      <c r="B11" s="13" t="s">
        <v>6</v>
      </c>
      <c r="C11" s="13">
        <f>IF(B11="easy", 1, IF(B11="medium", 2, IF(B11="hard", 3, 0)))</f>
        <v>2</v>
      </c>
      <c r="E11" s="5" t="s">
        <v>1</v>
      </c>
      <c r="F11" s="6" t="s">
        <v>2</v>
      </c>
      <c r="G11" s="7" t="s">
        <v>3</v>
      </c>
    </row>
    <row r="12" spans="1:7" x14ac:dyDescent="0.3">
      <c r="A12" s="13" t="s">
        <v>9</v>
      </c>
      <c r="B12" s="13" t="s">
        <v>4</v>
      </c>
      <c r="C12" s="13">
        <f>IF(B12="easy", 1, IF(B12="medium", 2, IF(B12="hard", 3, 0)))</f>
        <v>1</v>
      </c>
      <c r="E12" s="15" t="s">
        <v>26</v>
      </c>
      <c r="F12" s="13" t="s">
        <v>5</v>
      </c>
      <c r="G12" s="13">
        <f>IF(F12="easy", 1, IF(F12="medium", 2, IF(F12="hard", 3, 0)))</f>
        <v>3</v>
      </c>
    </row>
    <row r="13" spans="1:7" x14ac:dyDescent="0.3">
      <c r="A13" s="13" t="s">
        <v>11</v>
      </c>
      <c r="B13" s="13" t="s">
        <v>4</v>
      </c>
      <c r="C13" s="13">
        <f>IF(B13="easy", 1, IF(B13="medium", 2, IF(B13="hard", 3, 0)))</f>
        <v>1</v>
      </c>
      <c r="E13" s="8" t="s">
        <v>7</v>
      </c>
      <c r="F13" s="9"/>
      <c r="G13" s="10">
        <f>SUM(G12)</f>
        <v>3</v>
      </c>
    </row>
    <row r="14" spans="1:7" x14ac:dyDescent="0.3">
      <c r="A14" s="13" t="s">
        <v>10</v>
      </c>
      <c r="B14" s="13" t="s">
        <v>6</v>
      </c>
      <c r="C14" s="13">
        <f>IF(B14="easy", 1, IF(B14="medium", 2, IF(B14="hard", 3, 0)))</f>
        <v>2</v>
      </c>
    </row>
    <row r="15" spans="1:7" x14ac:dyDescent="0.3">
      <c r="A15" s="13" t="s">
        <v>23</v>
      </c>
      <c r="B15" s="13" t="s">
        <v>5</v>
      </c>
      <c r="C15" s="13">
        <f>IF(B15="easy", 1, IF(B15="medium", 2, IF(B15="hard", 3, 0)))</f>
        <v>3</v>
      </c>
      <c r="E15" s="16" t="s">
        <v>19</v>
      </c>
      <c r="F15" s="17"/>
      <c r="G15" s="18"/>
    </row>
    <row r="16" spans="1:7" x14ac:dyDescent="0.3">
      <c r="A16" s="8" t="s">
        <v>7</v>
      </c>
      <c r="B16" s="9"/>
      <c r="C16" s="10">
        <f>SUM(C9:C15)</f>
        <v>11</v>
      </c>
      <c r="E16" s="5" t="s">
        <v>1</v>
      </c>
      <c r="F16" s="6" t="s">
        <v>2</v>
      </c>
      <c r="G16" s="7" t="s">
        <v>3</v>
      </c>
    </row>
    <row r="17" spans="1:7" x14ac:dyDescent="0.3">
      <c r="E17" s="13" t="s">
        <v>42</v>
      </c>
      <c r="F17" s="13" t="s">
        <v>4</v>
      </c>
      <c r="G17" s="13">
        <f t="shared" ref="G17" si="2">IF(F17="easy", 1, IF(F17="medium", 2, IF(F17="hard", 3, 0)))</f>
        <v>1</v>
      </c>
    </row>
    <row r="18" spans="1:7" x14ac:dyDescent="0.3">
      <c r="A18" s="16" t="s">
        <v>12</v>
      </c>
      <c r="B18" s="17"/>
      <c r="C18" s="18"/>
      <c r="E18" s="14" t="s">
        <v>32</v>
      </c>
      <c r="F18" s="14" t="s">
        <v>4</v>
      </c>
      <c r="G18" s="13">
        <v>0</v>
      </c>
    </row>
    <row r="19" spans="1:7" x14ac:dyDescent="0.3">
      <c r="A19" s="5" t="s">
        <v>1</v>
      </c>
      <c r="B19" s="6" t="s">
        <v>2</v>
      </c>
      <c r="C19" s="7" t="s">
        <v>3</v>
      </c>
      <c r="E19" s="14" t="s">
        <v>40</v>
      </c>
      <c r="F19" s="13" t="s">
        <v>4</v>
      </c>
      <c r="G19" s="13">
        <f t="shared" ref="G19:G24" si="3">IF(F19="easy", 1, IF(F19="medium", 2, IF(F19="hard", 3, 0)))</f>
        <v>1</v>
      </c>
    </row>
    <row r="20" spans="1:7" x14ac:dyDescent="0.3">
      <c r="A20" t="s">
        <v>13</v>
      </c>
      <c r="B20" t="s">
        <v>5</v>
      </c>
      <c r="C20" s="13">
        <f>IF(B20="easy", 1, IF(B20="medium", 2, IF(B20="hard", 3, 0)))</f>
        <v>3</v>
      </c>
      <c r="E20" s="14" t="s">
        <v>41</v>
      </c>
      <c r="F20" s="13" t="s">
        <v>4</v>
      </c>
      <c r="G20" s="13">
        <f t="shared" si="3"/>
        <v>1</v>
      </c>
    </row>
    <row r="21" spans="1:7" x14ac:dyDescent="0.3">
      <c r="A21" s="8" t="s">
        <v>7</v>
      </c>
      <c r="B21" s="9"/>
      <c r="C21" s="10">
        <f>SUM(C20)</f>
        <v>3</v>
      </c>
      <c r="E21" s="14" t="s">
        <v>31</v>
      </c>
      <c r="F21" s="14" t="s">
        <v>4</v>
      </c>
      <c r="G21" s="13">
        <f t="shared" si="3"/>
        <v>1</v>
      </c>
    </row>
    <row r="22" spans="1:7" x14ac:dyDescent="0.3">
      <c r="E22" s="14" t="s">
        <v>20</v>
      </c>
      <c r="F22" s="14" t="s">
        <v>5</v>
      </c>
      <c r="G22" s="13">
        <f t="shared" si="3"/>
        <v>3</v>
      </c>
    </row>
    <row r="23" spans="1:7" x14ac:dyDescent="0.3">
      <c r="E23" s="14" t="s">
        <v>21</v>
      </c>
      <c r="F23" s="14" t="s">
        <v>5</v>
      </c>
      <c r="G23" s="13">
        <f t="shared" si="3"/>
        <v>3</v>
      </c>
    </row>
    <row r="24" spans="1:7" x14ac:dyDescent="0.3">
      <c r="E24" s="14" t="s">
        <v>22</v>
      </c>
      <c r="F24" s="14" t="s">
        <v>5</v>
      </c>
      <c r="G24" s="13">
        <f t="shared" si="3"/>
        <v>3</v>
      </c>
    </row>
    <row r="25" spans="1:7" x14ac:dyDescent="0.3">
      <c r="E25" s="11" t="s">
        <v>7</v>
      </c>
      <c r="F25" s="12"/>
      <c r="G25" s="12">
        <f>SUM(G17:G24)</f>
        <v>13</v>
      </c>
    </row>
    <row r="27" spans="1:7" x14ac:dyDescent="0.3">
      <c r="E27" s="16" t="s">
        <v>30</v>
      </c>
      <c r="F27" s="17"/>
      <c r="G27" s="18"/>
    </row>
    <row r="28" spans="1:7" x14ac:dyDescent="0.3">
      <c r="E28" s="5" t="s">
        <v>1</v>
      </c>
      <c r="F28" s="6" t="s">
        <v>2</v>
      </c>
      <c r="G28" s="7" t="s">
        <v>3</v>
      </c>
    </row>
    <row r="29" spans="1:7" x14ac:dyDescent="0.3">
      <c r="E29" s="13" t="s">
        <v>24</v>
      </c>
      <c r="F29" s="13" t="s">
        <v>4</v>
      </c>
      <c r="G29" s="13">
        <f>IF(F29="easy", 1, IF(F29="medium", 2, IF(F29="hard", 3, 0)))</f>
        <v>1</v>
      </c>
    </row>
    <row r="30" spans="1:7" x14ac:dyDescent="0.3">
      <c r="E30" s="14" t="s">
        <v>32</v>
      </c>
      <c r="F30" s="14" t="s">
        <v>4</v>
      </c>
      <c r="G30" s="13">
        <v>0</v>
      </c>
    </row>
    <row r="31" spans="1:7" x14ac:dyDescent="0.3">
      <c r="E31" s="14" t="s">
        <v>25</v>
      </c>
      <c r="F31" s="13" t="s">
        <v>5</v>
      </c>
      <c r="G31" s="13">
        <f>IF(F31="easy", 1, IF(F31="medium", 2, IF(F31="hard", 3, 0)))</f>
        <v>3</v>
      </c>
    </row>
    <row r="32" spans="1:7" x14ac:dyDescent="0.3">
      <c r="E32" s="14" t="s">
        <v>27</v>
      </c>
      <c r="F32" s="13" t="s">
        <v>5</v>
      </c>
      <c r="G32" s="13">
        <f t="shared" ref="G32:G33" si="4">IF(F32="easy", 1, IF(F32="medium", 2, IF(F32="hard", 3, 0)))</f>
        <v>3</v>
      </c>
    </row>
    <row r="33" spans="5:8" x14ac:dyDescent="0.3">
      <c r="E33" s="14" t="s">
        <v>28</v>
      </c>
      <c r="F33" s="13" t="s">
        <v>5</v>
      </c>
      <c r="G33" s="13">
        <f t="shared" si="4"/>
        <v>3</v>
      </c>
    </row>
    <row r="34" spans="5:8" x14ac:dyDescent="0.3">
      <c r="E34" s="11" t="s">
        <v>7</v>
      </c>
      <c r="F34" s="12"/>
      <c r="G34" s="12">
        <f>SUM(G29:G33)</f>
        <v>10</v>
      </c>
    </row>
    <row r="36" spans="5:8" x14ac:dyDescent="0.3">
      <c r="H36">
        <f>C5+C16+C21+G8+G13+G25+G34</f>
        <v>55</v>
      </c>
    </row>
    <row r="37" spans="5:8" x14ac:dyDescent="0.3">
      <c r="H37">
        <f>H36 / 100</f>
        <v>0.55000000000000004</v>
      </c>
    </row>
    <row r="38" spans="5:8" x14ac:dyDescent="0.3">
      <c r="H38" t="s">
        <v>37</v>
      </c>
    </row>
    <row r="41" spans="5:8" x14ac:dyDescent="0.3">
      <c r="E41" s="3"/>
      <c r="F41" s="3"/>
      <c r="G41" s="4"/>
    </row>
    <row r="42" spans="5:8" x14ac:dyDescent="0.3">
      <c r="E42" s="3"/>
      <c r="F42" s="3"/>
      <c r="G42" s="4"/>
    </row>
    <row r="44" spans="5:8" x14ac:dyDescent="0.3">
      <c r="F44" s="3"/>
      <c r="G44" s="4"/>
    </row>
  </sheetData>
  <mergeCells count="3">
    <mergeCell ref="A1:C1"/>
    <mergeCell ref="E1:G1"/>
    <mergeCell ref="A7:C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Oliver</dc:creator>
  <cp:lastModifiedBy>Norbert Oliver</cp:lastModifiedBy>
  <dcterms:created xsi:type="dcterms:W3CDTF">2022-05-18T17:58:42Z</dcterms:created>
  <dcterms:modified xsi:type="dcterms:W3CDTF">2022-05-28T12:00:18Z</dcterms:modified>
</cp:coreProperties>
</file>